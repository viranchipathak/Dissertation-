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3"/>
  <workbookPr defaultThemeVersion="166925"/>
  <mc:AlternateContent xmlns:mc="http://schemas.openxmlformats.org/markup-compatibility/2006">
    <mc:Choice Requires="x15">
      <x15ac:absPath xmlns:x15ac="http://schemas.microsoft.com/office/spreadsheetml/2010/11/ac" url="C:\Users\D24125132\Downloads\"/>
    </mc:Choice>
  </mc:AlternateContent>
  <xr:revisionPtr revIDLastSave="0" documentId="13_ncr:1_{6E63A26C-84C4-4AF3-8547-2AF0C267F965}" xr6:coauthVersionLast="36" xr6:coauthVersionMax="47" xr10:uidLastSave="{00000000-0000-0000-0000-000000000000}"/>
  <bookViews>
    <workbookView xWindow="0" yWindow="0" windowWidth="21570" windowHeight="7890" xr2:uid="{0E440FCB-B675-40A1-B1A4-E1F210B9BA30}"/>
  </bookViews>
  <sheets>
    <sheet name="Historical FCFE" sheetId="1" r:id="rId1"/>
    <sheet name="Future Projections" sheetId="2" r:id="rId2"/>
    <sheet name="Valuation" sheetId="3"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18" i="3" l="1"/>
  <c r="N14" i="3"/>
  <c r="D12" i="1" l="1"/>
  <c r="E12" i="1"/>
  <c r="F12" i="1"/>
  <c r="C12" i="1"/>
  <c r="C12" i="2"/>
  <c r="I6" i="2"/>
  <c r="J6" i="2" s="1"/>
  <c r="K6" i="2" s="1"/>
  <c r="L6" i="2" s="1"/>
  <c r="F12" i="2"/>
  <c r="E12" i="2"/>
  <c r="D12" i="2"/>
  <c r="L11" i="3"/>
  <c r="M11" i="3" s="1"/>
  <c r="L10" i="3"/>
  <c r="M10" i="3" s="1"/>
  <c r="L9" i="3"/>
  <c r="M9" i="3" s="1"/>
  <c r="L8" i="3"/>
  <c r="M8" i="3" s="1"/>
  <c r="L7" i="3"/>
  <c r="M7" i="3" s="1"/>
  <c r="I7" i="2"/>
  <c r="I8" i="2" s="1"/>
  <c r="M12" i="3" l="1"/>
  <c r="J7" i="2"/>
  <c r="I9" i="2"/>
  <c r="I12" i="2" s="1"/>
  <c r="J9" i="2" l="1"/>
  <c r="K7" i="2"/>
  <c r="J8" i="2"/>
  <c r="J12" i="2" l="1"/>
  <c r="K8" i="2"/>
  <c r="L7" i="2"/>
  <c r="K9" i="2"/>
  <c r="K12" i="2" l="1"/>
  <c r="K11" i="3"/>
  <c r="N11" i="3" s="1"/>
  <c r="M6" i="2"/>
  <c r="L9" i="2"/>
  <c r="L8" i="2"/>
  <c r="M7" i="2"/>
  <c r="M8" i="2" s="1"/>
  <c r="L12" i="2" l="1"/>
  <c r="M9" i="2"/>
  <c r="M12" i="2" l="1"/>
  <c r="M14" i="2" s="1"/>
</calcChain>
</file>

<file path=xl/sharedStrings.xml><?xml version="1.0" encoding="utf-8"?>
<sst xmlns="http://schemas.openxmlformats.org/spreadsheetml/2006/main" count="50" uniqueCount="31">
  <si>
    <t>Net Income</t>
  </si>
  <si>
    <t>Working Capital</t>
  </si>
  <si>
    <t>FCFE</t>
  </si>
  <si>
    <t>Net Long Term Debt Issuance</t>
  </si>
  <si>
    <t>FCFE=Net Income+Depreciation−CAPEX−ΔWorking Capital+Net Borrowing</t>
  </si>
  <si>
    <t>Terminal Value -</t>
  </si>
  <si>
    <t>Year</t>
  </si>
  <si>
    <t>FCFE (Projected)</t>
  </si>
  <si>
    <t>Terminal Value (only in 2029)</t>
  </si>
  <si>
    <t>Discount Factor</t>
  </si>
  <si>
    <t>PV of FCFE</t>
  </si>
  <si>
    <t>PV of Terminal Value</t>
  </si>
  <si>
    <t>Total-</t>
  </si>
  <si>
    <t>Number of Shares Outstanding -</t>
  </si>
  <si>
    <t>Per Share Value-</t>
  </si>
  <si>
    <t>Total Equity Value-</t>
  </si>
  <si>
    <t>2024 (₹ crore)</t>
  </si>
  <si>
    <t>2023 (₹ crore)</t>
  </si>
  <si>
    <t>2022 (₹ crore)</t>
  </si>
  <si>
    <t>2021 (₹ crore)</t>
  </si>
  <si>
    <t xml:space="preserve">Depreciation </t>
  </si>
  <si>
    <t xml:space="preserve">Capital Expenditure </t>
  </si>
  <si>
    <t>2025 (₹ crore)</t>
  </si>
  <si>
    <t>2026 (₹ crore)</t>
  </si>
  <si>
    <t>2027 (₹ crore)</t>
  </si>
  <si>
    <t>2028 (₹ crore)</t>
  </si>
  <si>
    <t>2029 (₹ crore)</t>
  </si>
  <si>
    <t>(₹ crore)</t>
  </si>
  <si>
    <t>Infosys Ltd. Historical FCFE</t>
  </si>
  <si>
    <t>Infosys Ltd. Future Projections</t>
  </si>
  <si>
    <t>Infosys Ltd. Valuation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</si>
</sst>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2"/>
      <color theme="1"/>
      <name val="Calibri"/>
      <family val="2"/>
      <scheme val="minor"/>
    </font>
    <font>
      <b/>
      <sz val="11"/>
      <color theme="1"/>
      <name val="Calibri"/>
      <family val="2"/>
      <scheme val="minor"/>
    </font>
    <font>
      <b/>
      <sz val="16"/>
      <color theme="0"/>
      <name val="Calibri"/>
      <family val="2"/>
      <scheme val="minor"/>
    </font>
    <font>
      <sz val="24"/>
      <color theme="1"/>
      <name val="Times New Roman"/>
      <family val="1"/>
    </font>
  </fonts>
  <fills count="6">
    <fill>
      <patternFill patternType="none"/>
    </fill>
    <fill>
      <patternFill patternType="gray125"/>
    </fill>
    <fill>
      <patternFill patternType="solid">
        <fgColor theme="4" tint="0.59999389629810485"/>
        <bgColor indexed="64"/>
      </patternFill>
    </fill>
    <fill>
      <patternFill patternType="solid">
        <fgColor theme="7" tint="0.79998168889431442"/>
        <bgColor indexed="64"/>
      </patternFill>
    </fill>
    <fill>
      <patternFill patternType="solid">
        <fgColor rgb="FF002060"/>
        <bgColor indexed="64"/>
      </patternFill>
    </fill>
    <fill>
      <patternFill patternType="solid">
        <fgColor theme="3" tint="0.79998168889431442"/>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s>
  <cellStyleXfs count="1">
    <xf numFmtId="0" fontId="0" fillId="0" borderId="0"/>
  </cellStyleXfs>
  <cellXfs count="55">
    <xf numFmtId="0" fontId="0" fillId="0" borderId="0" xfId="0"/>
    <xf numFmtId="3" fontId="0" fillId="0" borderId="0" xfId="0" applyNumberFormat="1"/>
    <xf numFmtId="0" fontId="1" fillId="0" borderId="0" xfId="0" applyFont="1"/>
    <xf numFmtId="3" fontId="0" fillId="0" borderId="0" xfId="0" applyNumberFormat="1" applyBorder="1"/>
    <xf numFmtId="0" fontId="0" fillId="0" borderId="0" xfId="0" applyBorder="1"/>
    <xf numFmtId="0" fontId="0" fillId="0" borderId="4" xfId="0" applyBorder="1"/>
    <xf numFmtId="0" fontId="2" fillId="0" borderId="0" xfId="0" applyFont="1" applyBorder="1"/>
    <xf numFmtId="0" fontId="2" fillId="2" borderId="2" xfId="0" applyFont="1" applyFill="1" applyBorder="1"/>
    <xf numFmtId="0" fontId="2" fillId="2" borderId="3" xfId="0" applyFont="1" applyFill="1" applyBorder="1"/>
    <xf numFmtId="3" fontId="0" fillId="3" borderId="0" xfId="0" applyNumberFormat="1" applyFill="1" applyBorder="1"/>
    <xf numFmtId="3" fontId="0" fillId="3" borderId="4" xfId="0" applyNumberFormat="1" applyFill="1" applyBorder="1"/>
    <xf numFmtId="0" fontId="0" fillId="3" borderId="0" xfId="0" applyFill="1" applyBorder="1"/>
    <xf numFmtId="0" fontId="0" fillId="3" borderId="4" xfId="0" applyFill="1" applyBorder="1"/>
    <xf numFmtId="0" fontId="2" fillId="3" borderId="11" xfId="0" applyFont="1" applyFill="1" applyBorder="1"/>
    <xf numFmtId="3" fontId="2" fillId="3" borderId="11" xfId="0" applyNumberFormat="1" applyFont="1" applyFill="1" applyBorder="1"/>
    <xf numFmtId="0" fontId="0" fillId="3" borderId="11" xfId="0" applyFill="1" applyBorder="1"/>
    <xf numFmtId="0" fontId="0" fillId="2" borderId="13" xfId="0" applyFill="1" applyBorder="1"/>
    <xf numFmtId="0" fontId="2" fillId="2" borderId="14" xfId="0" applyFont="1" applyFill="1" applyBorder="1"/>
    <xf numFmtId="0" fontId="2" fillId="2" borderId="15" xfId="0" applyFont="1" applyFill="1" applyBorder="1"/>
    <xf numFmtId="0" fontId="3" fillId="4" borderId="0" xfId="0" applyFont="1" applyFill="1" applyAlignment="1"/>
    <xf numFmtId="0" fontId="2" fillId="3" borderId="8" xfId="0" applyFont="1" applyFill="1" applyBorder="1"/>
    <xf numFmtId="0" fontId="2" fillId="2" borderId="10" xfId="0" applyFont="1" applyFill="1" applyBorder="1"/>
    <xf numFmtId="2" fontId="2" fillId="3" borderId="9" xfId="0" applyNumberFormat="1" applyFont="1" applyFill="1" applyBorder="1"/>
    <xf numFmtId="3" fontId="2" fillId="3" borderId="10" xfId="0" applyNumberFormat="1" applyFont="1" applyFill="1" applyBorder="1"/>
    <xf numFmtId="3" fontId="0" fillId="3" borderId="17" xfId="0" applyNumberFormat="1" applyFill="1" applyBorder="1"/>
    <xf numFmtId="3" fontId="0" fillId="3" borderId="9" xfId="0" applyNumberFormat="1" applyFill="1" applyBorder="1"/>
    <xf numFmtId="2" fontId="0" fillId="3" borderId="0" xfId="0" applyNumberFormat="1" applyFill="1" applyBorder="1"/>
    <xf numFmtId="0" fontId="0" fillId="3" borderId="0" xfId="0" applyFill="1" applyBorder="1" applyAlignment="1">
      <alignment horizontal="center" vertical="center" wrapText="1"/>
    </xf>
    <xf numFmtId="2" fontId="0" fillId="3" borderId="0" xfId="0" applyNumberFormat="1" applyFill="1" applyBorder="1" applyAlignment="1">
      <alignment horizontal="center" vertical="center" wrapText="1"/>
    </xf>
    <xf numFmtId="0" fontId="0" fillId="3" borderId="4" xfId="0" applyFill="1" applyBorder="1" applyAlignment="1">
      <alignment horizontal="center" vertical="center" wrapText="1"/>
    </xf>
    <xf numFmtId="0" fontId="0" fillId="3" borderId="9" xfId="0" applyFill="1" applyBorder="1"/>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0" fillId="3" borderId="17" xfId="0" applyFill="1" applyBorder="1"/>
    <xf numFmtId="0" fontId="2" fillId="3" borderId="12" xfId="0" applyFont="1" applyFill="1" applyBorder="1" applyAlignment="1">
      <alignment horizontal="center" vertical="center" wrapText="1"/>
    </xf>
    <xf numFmtId="2" fontId="0" fillId="3" borderId="6" xfId="0" applyNumberFormat="1" applyFill="1" applyBorder="1"/>
    <xf numFmtId="2" fontId="0" fillId="3" borderId="6" xfId="0" applyNumberFormat="1" applyFill="1" applyBorder="1" applyAlignment="1">
      <alignment horizontal="center" vertical="center" wrapText="1"/>
    </xf>
    <xf numFmtId="2" fontId="2" fillId="2" borderId="16" xfId="0" applyNumberFormat="1" applyFont="1" applyFill="1" applyBorder="1"/>
    <xf numFmtId="0" fontId="2" fillId="2" borderId="1" xfId="0" applyFont="1" applyFill="1" applyBorder="1"/>
    <xf numFmtId="0" fontId="2" fillId="2" borderId="5" xfId="0" applyFont="1" applyFill="1" applyBorder="1"/>
    <xf numFmtId="4" fontId="2" fillId="3" borderId="3" xfId="0" applyNumberFormat="1" applyFont="1" applyFill="1" applyBorder="1"/>
    <xf numFmtId="0" fontId="0" fillId="2" borderId="18" xfId="0" applyFill="1" applyBorder="1" applyAlignment="1">
      <alignment horizontal="center"/>
    </xf>
    <xf numFmtId="0" fontId="0" fillId="2" borderId="19" xfId="0" applyFill="1" applyBorder="1"/>
    <xf numFmtId="3" fontId="2" fillId="3" borderId="17" xfId="0" applyNumberFormat="1" applyFont="1" applyFill="1" applyBorder="1"/>
    <xf numFmtId="3" fontId="2" fillId="3" borderId="9" xfId="0" applyNumberFormat="1" applyFont="1" applyFill="1" applyBorder="1"/>
    <xf numFmtId="2" fontId="2" fillId="3" borderId="7" xfId="0" applyNumberFormat="1" applyFont="1" applyFill="1" applyBorder="1" applyAlignment="1">
      <alignment horizontal="center" vertical="center" wrapText="1"/>
    </xf>
    <xf numFmtId="2" fontId="2" fillId="3" borderId="17" xfId="0" applyNumberFormat="1" applyFont="1" applyFill="1" applyBorder="1" applyAlignment="1">
      <alignment horizontal="center" vertical="center" wrapText="1"/>
    </xf>
    <xf numFmtId="0" fontId="4" fillId="5" borderId="1" xfId="0" applyFon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5" xfId="0" applyFill="1" applyBorder="1" applyAlignment="1">
      <alignment horizontal="center"/>
    </xf>
    <xf numFmtId="0" fontId="0" fillId="5" borderId="6" xfId="0" applyFill="1" applyBorder="1" applyAlignment="1">
      <alignment horizontal="center"/>
    </xf>
    <xf numFmtId="0" fontId="0" fillId="5" borderId="7" xfId="0" applyFill="1" applyBorder="1" applyAlignment="1">
      <alignment horizontal="center"/>
    </xf>
  </cellXfs>
  <cellStyles count="1">
    <cellStyle name="Normal" xfId="0" builtinId="0"/>
  </cellStyles>
  <dxfs count="0"/>
  <tableStyles count="1" defaultTableStyle="TableStyleMedium2" defaultPivotStyle="PivotStyleLight16">
    <tableStyle name="Invisible" pivot="0" table="0" count="0" xr9:uid="{17235022-CF2F-44F2-85F0-A132F8981683}"/>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333375</xdr:colOff>
      <xdr:row>12</xdr:row>
      <xdr:rowOff>47625</xdr:rowOff>
    </xdr:from>
    <xdr:to>
      <xdr:col>7</xdr:col>
      <xdr:colOff>19050</xdr:colOff>
      <xdr:row>18</xdr:row>
      <xdr:rowOff>76200</xdr:rowOff>
    </xdr:to>
    <xdr:cxnSp macro="">
      <xdr:nvCxnSpPr>
        <xdr:cNvPr id="3" name="Straight Arrow Connector 2">
          <a:extLst>
            <a:ext uri="{FF2B5EF4-FFF2-40B4-BE49-F238E27FC236}">
              <a16:creationId xmlns:a16="http://schemas.microsoft.com/office/drawing/2014/main" id="{71A4CB3B-BB38-415A-AB5D-637131E36120}"/>
            </a:ext>
          </a:extLst>
        </xdr:cNvPr>
        <xdr:cNvCxnSpPr/>
      </xdr:nvCxnSpPr>
      <xdr:spPr>
        <a:xfrm>
          <a:off x="4714875" y="2466975"/>
          <a:ext cx="1657350" cy="1171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704850</xdr:colOff>
      <xdr:row>18</xdr:row>
      <xdr:rowOff>171450</xdr:rowOff>
    </xdr:from>
    <xdr:to>
      <xdr:col>9</xdr:col>
      <xdr:colOff>400050</xdr:colOff>
      <xdr:row>22</xdr:row>
      <xdr:rowOff>57150</xdr:rowOff>
    </xdr:to>
    <xdr:sp macro="" textlink="">
      <xdr:nvSpPr>
        <xdr:cNvPr id="5" name="Rectangle: Rounded Corners 4">
          <a:extLst>
            <a:ext uri="{FF2B5EF4-FFF2-40B4-BE49-F238E27FC236}">
              <a16:creationId xmlns:a16="http://schemas.microsoft.com/office/drawing/2014/main" id="{6393F567-D7E3-45EF-B77F-6BE1C97BCEDD}"/>
            </a:ext>
          </a:extLst>
        </xdr:cNvPr>
        <xdr:cNvSpPr/>
      </xdr:nvSpPr>
      <xdr:spPr>
        <a:xfrm>
          <a:off x="5915025" y="3733800"/>
          <a:ext cx="2085975" cy="647700"/>
        </a:xfrm>
        <a:prstGeom prst="roundRect">
          <a:avLst/>
        </a:prstGeom>
      </xdr:spPr>
      <xdr:style>
        <a:lnRef idx="0">
          <a:schemeClr val="accent3"/>
        </a:lnRef>
        <a:fillRef idx="3">
          <a:schemeClr val="accent3"/>
        </a:fillRef>
        <a:effectRef idx="3">
          <a:schemeClr val="accent3"/>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1">
              <a:solidFill>
                <a:schemeClr val="lt1"/>
              </a:solidFill>
              <a:effectLst/>
              <a:latin typeface="Times New Roman" panose="02020603050405020304" pitchFamily="18" charset="0"/>
              <a:ea typeface="+mn-ea"/>
              <a:cs typeface="Times New Roman" panose="02020603050405020304" pitchFamily="18" charset="0"/>
            </a:rPr>
            <a:t>FCFE Of Historical</a:t>
          </a:r>
          <a:r>
            <a:rPr lang="en-GB" sz="1100" b="1" baseline="0">
              <a:solidFill>
                <a:schemeClr val="lt1"/>
              </a:solidFill>
              <a:effectLst/>
              <a:latin typeface="Times New Roman" panose="02020603050405020304" pitchFamily="18" charset="0"/>
              <a:ea typeface="+mn-ea"/>
              <a:cs typeface="Times New Roman" panose="02020603050405020304" pitchFamily="18" charset="0"/>
            </a:rPr>
            <a:t> Years From 2021 to 2024</a:t>
          </a:r>
          <a:endParaRPr lang="en-GB" b="1">
            <a:effectLst/>
            <a:latin typeface="Times New Roman" panose="02020603050405020304" pitchFamily="18" charset="0"/>
            <a:cs typeface="Times New Roman" panose="02020603050405020304" pitchFamily="18" charset="0"/>
          </a:endParaRPr>
        </a:p>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200025</xdr:colOff>
      <xdr:row>14</xdr:row>
      <xdr:rowOff>85725</xdr:rowOff>
    </xdr:from>
    <xdr:to>
      <xdr:col>14</xdr:col>
      <xdr:colOff>133350</xdr:colOff>
      <xdr:row>19</xdr:row>
      <xdr:rowOff>180975</xdr:rowOff>
    </xdr:to>
    <xdr:cxnSp macro="">
      <xdr:nvCxnSpPr>
        <xdr:cNvPr id="3" name="Straight Arrow Connector 2">
          <a:extLst>
            <a:ext uri="{FF2B5EF4-FFF2-40B4-BE49-F238E27FC236}">
              <a16:creationId xmlns:a16="http://schemas.microsoft.com/office/drawing/2014/main" id="{127EDAAA-80FC-467F-B20B-414B3010A62F}"/>
            </a:ext>
          </a:extLst>
        </xdr:cNvPr>
        <xdr:cNvCxnSpPr/>
      </xdr:nvCxnSpPr>
      <xdr:spPr>
        <a:xfrm>
          <a:off x="11496675" y="2895600"/>
          <a:ext cx="1371600" cy="1047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95250</xdr:colOff>
      <xdr:row>20</xdr:row>
      <xdr:rowOff>142876</xdr:rowOff>
    </xdr:from>
    <xdr:to>
      <xdr:col>16</xdr:col>
      <xdr:colOff>76200</xdr:colOff>
      <xdr:row>26</xdr:row>
      <xdr:rowOff>47626</xdr:rowOff>
    </xdr:to>
    <xdr:sp macro="" textlink="">
      <xdr:nvSpPr>
        <xdr:cNvPr id="4" name="Rectangle: Rounded Corners 3">
          <a:extLst>
            <a:ext uri="{FF2B5EF4-FFF2-40B4-BE49-F238E27FC236}">
              <a16:creationId xmlns:a16="http://schemas.microsoft.com/office/drawing/2014/main" id="{319A8E35-7284-426C-AF53-016F6D1D2F74}"/>
            </a:ext>
          </a:extLst>
        </xdr:cNvPr>
        <xdr:cNvSpPr/>
      </xdr:nvSpPr>
      <xdr:spPr>
        <a:xfrm>
          <a:off x="12220575" y="4095751"/>
          <a:ext cx="3400425" cy="104775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GB" b="1"/>
            <a:t>Terminal Value is the estimated value of a company’s equity </a:t>
          </a:r>
          <a:r>
            <a:rPr lang="en-GB" b="1">
              <a:latin typeface="Times New Roman" panose="02020603050405020304" pitchFamily="18" charset="0"/>
              <a:cs typeface="Times New Roman" panose="02020603050405020304" pitchFamily="18" charset="0"/>
            </a:rPr>
            <a:t>at</a:t>
          </a:r>
          <a:r>
            <a:rPr lang="en-GB" b="1"/>
            <a:t> the end of the explicit forecast period in a discounted cash flow (DCF) model, calculated based on the assumption that FCFE will grow at a constant rate forever.</a:t>
          </a:r>
          <a:endParaRPr lang="en-GB" sz="1100" b="1"/>
        </a:p>
      </xdr:txBody>
    </xdr:sp>
    <xdr:clientData/>
  </xdr:twoCellAnchor>
  <xdr:twoCellAnchor editAs="oneCell">
    <xdr:from>
      <xdr:col>13</xdr:col>
      <xdr:colOff>552450</xdr:colOff>
      <xdr:row>27</xdr:row>
      <xdr:rowOff>114300</xdr:rowOff>
    </xdr:from>
    <xdr:to>
      <xdr:col>15</xdr:col>
      <xdr:colOff>2000622</xdr:colOff>
      <xdr:row>31</xdr:row>
      <xdr:rowOff>85827</xdr:rowOff>
    </xdr:to>
    <xdr:pic>
      <xdr:nvPicPr>
        <xdr:cNvPr id="5" name="Picture 4">
          <a:extLst>
            <a:ext uri="{FF2B5EF4-FFF2-40B4-BE49-F238E27FC236}">
              <a16:creationId xmlns:a16="http://schemas.microsoft.com/office/drawing/2014/main" id="{B060D4BD-EAA2-40D9-A4A2-7D563A154965}"/>
            </a:ext>
          </a:extLst>
        </xdr:cNvPr>
        <xdr:cNvPicPr>
          <a:picLocks noChangeAspect="1"/>
        </xdr:cNvPicPr>
      </xdr:nvPicPr>
      <xdr:blipFill>
        <a:blip xmlns:r="http://schemas.openxmlformats.org/officeDocument/2006/relationships" r:embed="rId1"/>
        <a:stretch>
          <a:fillRect/>
        </a:stretch>
      </xdr:blipFill>
      <xdr:spPr>
        <a:xfrm>
          <a:off x="12677775" y="5400675"/>
          <a:ext cx="2667372" cy="733527"/>
        </a:xfrm>
        <a:prstGeom prst="rect">
          <a:avLst/>
        </a:prstGeom>
      </xdr:spPr>
    </xdr:pic>
    <xdr:clientData/>
  </xdr:twoCellAnchor>
  <xdr:twoCellAnchor editAs="oneCell">
    <xdr:from>
      <xdr:col>13</xdr:col>
      <xdr:colOff>0</xdr:colOff>
      <xdr:row>33</xdr:row>
      <xdr:rowOff>0</xdr:rowOff>
    </xdr:from>
    <xdr:to>
      <xdr:col>19</xdr:col>
      <xdr:colOff>324715</xdr:colOff>
      <xdr:row>45</xdr:row>
      <xdr:rowOff>133688</xdr:rowOff>
    </xdr:to>
    <xdr:pic>
      <xdr:nvPicPr>
        <xdr:cNvPr id="6" name="Picture 5">
          <a:extLst>
            <a:ext uri="{FF2B5EF4-FFF2-40B4-BE49-F238E27FC236}">
              <a16:creationId xmlns:a16="http://schemas.microsoft.com/office/drawing/2014/main" id="{939272E4-0805-4778-B14A-9EB5071D2BE8}"/>
            </a:ext>
          </a:extLst>
        </xdr:cNvPr>
        <xdr:cNvPicPr>
          <a:picLocks noChangeAspect="1"/>
        </xdr:cNvPicPr>
      </xdr:nvPicPr>
      <xdr:blipFill>
        <a:blip xmlns:r="http://schemas.openxmlformats.org/officeDocument/2006/relationships" r:embed="rId2"/>
        <a:stretch>
          <a:fillRect/>
        </a:stretch>
      </xdr:blipFill>
      <xdr:spPr>
        <a:xfrm>
          <a:off x="12125325" y="6429375"/>
          <a:ext cx="6201640" cy="2419688"/>
        </a:xfrm>
        <a:prstGeom prst="rect">
          <a:avLst/>
        </a:prstGeom>
      </xdr:spPr>
    </xdr:pic>
    <xdr:clientData/>
  </xdr:twoCellAnchor>
  <xdr:twoCellAnchor>
    <xdr:from>
      <xdr:col>16</xdr:col>
      <xdr:colOff>552450</xdr:colOff>
      <xdr:row>20</xdr:row>
      <xdr:rowOff>0</xdr:rowOff>
    </xdr:from>
    <xdr:to>
      <xdr:col>20</xdr:col>
      <xdr:colOff>314325</xdr:colOff>
      <xdr:row>31</xdr:row>
      <xdr:rowOff>180975</xdr:rowOff>
    </xdr:to>
    <xdr:sp macro="" textlink="">
      <xdr:nvSpPr>
        <xdr:cNvPr id="7" name="Oval 6">
          <a:extLst>
            <a:ext uri="{FF2B5EF4-FFF2-40B4-BE49-F238E27FC236}">
              <a16:creationId xmlns:a16="http://schemas.microsoft.com/office/drawing/2014/main" id="{DAA63791-3875-45BE-8407-443FF02DB547}"/>
            </a:ext>
          </a:extLst>
        </xdr:cNvPr>
        <xdr:cNvSpPr/>
      </xdr:nvSpPr>
      <xdr:spPr>
        <a:xfrm>
          <a:off x="16097250" y="3952875"/>
          <a:ext cx="2828925" cy="2276475"/>
        </a:xfrm>
        <a:prstGeom prst="ellipse">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GB" b="1">
              <a:latin typeface="Times New Roman" panose="02020603050405020304" pitchFamily="18" charset="0"/>
              <a:cs typeface="Times New Roman" panose="02020603050405020304" pitchFamily="18" charset="0"/>
            </a:rPr>
            <a:t>In valuing Infosys Ltd., the Terminal Value captures the company's ability to generate and grow free cash flows beyond the projected years, reflecting its long-term sustainability, market position, and industry prospects.</a:t>
          </a:r>
          <a:endParaRPr lang="en-GB" sz="1100" b="1">
            <a:latin typeface="Times New Roman" panose="02020603050405020304" pitchFamily="18"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15</xdr:col>
      <xdr:colOff>371475</xdr:colOff>
      <xdr:row>10</xdr:row>
      <xdr:rowOff>152400</xdr:rowOff>
    </xdr:from>
    <xdr:to>
      <xdr:col>17</xdr:col>
      <xdr:colOff>552450</xdr:colOff>
      <xdr:row>13</xdr:row>
      <xdr:rowOff>66675</xdr:rowOff>
    </xdr:to>
    <xdr:sp macro="" textlink="">
      <xdr:nvSpPr>
        <xdr:cNvPr id="4" name="Rectangle: Rounded Corners 3">
          <a:extLst>
            <a:ext uri="{FF2B5EF4-FFF2-40B4-BE49-F238E27FC236}">
              <a16:creationId xmlns:a16="http://schemas.microsoft.com/office/drawing/2014/main" id="{B1C589F7-8396-4189-8049-5CC22E30419A}"/>
            </a:ext>
          </a:extLst>
        </xdr:cNvPr>
        <xdr:cNvSpPr/>
      </xdr:nvSpPr>
      <xdr:spPr>
        <a:xfrm>
          <a:off x="14782800" y="2514600"/>
          <a:ext cx="1400175" cy="514350"/>
        </a:xfrm>
        <a:prstGeom prst="round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GB" sz="1100" b="1">
              <a:latin typeface="Times New Roman" panose="02020603050405020304" pitchFamily="18" charset="0"/>
              <a:cs typeface="Times New Roman" panose="02020603050405020304" pitchFamily="18" charset="0"/>
            </a:rPr>
            <a:t>Total Sum of PV of FCFE</a:t>
          </a:r>
        </a:p>
      </xdr:txBody>
    </xdr:sp>
    <xdr:clientData/>
  </xdr:twoCellAnchor>
  <xdr:twoCellAnchor>
    <xdr:from>
      <xdr:col>14</xdr:col>
      <xdr:colOff>47625</xdr:colOff>
      <xdr:row>13</xdr:row>
      <xdr:rowOff>133350</xdr:rowOff>
    </xdr:from>
    <xdr:to>
      <xdr:col>16</xdr:col>
      <xdr:colOff>247650</xdr:colOff>
      <xdr:row>15</xdr:row>
      <xdr:rowOff>76200</xdr:rowOff>
    </xdr:to>
    <xdr:cxnSp macro="">
      <xdr:nvCxnSpPr>
        <xdr:cNvPr id="6" name="Straight Arrow Connector 5">
          <a:extLst>
            <a:ext uri="{FF2B5EF4-FFF2-40B4-BE49-F238E27FC236}">
              <a16:creationId xmlns:a16="http://schemas.microsoft.com/office/drawing/2014/main" id="{CD692A15-EF77-4040-AF88-0F658383883D}"/>
            </a:ext>
          </a:extLst>
        </xdr:cNvPr>
        <xdr:cNvCxnSpPr/>
      </xdr:nvCxnSpPr>
      <xdr:spPr>
        <a:xfrm>
          <a:off x="13849350" y="3095625"/>
          <a:ext cx="1419225"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438150</xdr:colOff>
      <xdr:row>14</xdr:row>
      <xdr:rowOff>47625</xdr:rowOff>
    </xdr:from>
    <xdr:to>
      <xdr:col>19</xdr:col>
      <xdr:colOff>514350</xdr:colOff>
      <xdr:row>21</xdr:row>
      <xdr:rowOff>85725</xdr:rowOff>
    </xdr:to>
    <xdr:sp macro="" textlink="">
      <xdr:nvSpPr>
        <xdr:cNvPr id="7" name="Rectangle: Rounded Corners 6">
          <a:extLst>
            <a:ext uri="{FF2B5EF4-FFF2-40B4-BE49-F238E27FC236}">
              <a16:creationId xmlns:a16="http://schemas.microsoft.com/office/drawing/2014/main" id="{E57639D7-58AE-43C1-A749-182BF2D2CFE7}"/>
            </a:ext>
          </a:extLst>
        </xdr:cNvPr>
        <xdr:cNvSpPr/>
      </xdr:nvSpPr>
      <xdr:spPr>
        <a:xfrm>
          <a:off x="15459075" y="3209925"/>
          <a:ext cx="1905000" cy="1409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b="1">
              <a:latin typeface="Times New Roman" panose="02020603050405020304" pitchFamily="18" charset="0"/>
              <a:cs typeface="Times New Roman" panose="02020603050405020304" pitchFamily="18" charset="0"/>
            </a:rPr>
            <a:t>The present value of all future Free Cash Flows to Equity (FCFE), including the explicit forecast period and the terminal value, discounted at the cost of equity.</a:t>
          </a:r>
        </a:p>
        <a:p>
          <a:pPr algn="l"/>
          <a:endParaRPr lang="en-GB" sz="1100"/>
        </a:p>
      </xdr:txBody>
    </xdr:sp>
    <xdr:clientData/>
  </xdr:twoCellAnchor>
  <xdr:twoCellAnchor editAs="oneCell">
    <xdr:from>
      <xdr:col>14</xdr:col>
      <xdr:colOff>171450</xdr:colOff>
      <xdr:row>22</xdr:row>
      <xdr:rowOff>95250</xdr:rowOff>
    </xdr:from>
    <xdr:to>
      <xdr:col>24</xdr:col>
      <xdr:colOff>553354</xdr:colOff>
      <xdr:row>36</xdr:row>
      <xdr:rowOff>19412</xdr:rowOff>
    </xdr:to>
    <xdr:pic>
      <xdr:nvPicPr>
        <xdr:cNvPr id="8" name="Picture 7">
          <a:extLst>
            <a:ext uri="{FF2B5EF4-FFF2-40B4-BE49-F238E27FC236}">
              <a16:creationId xmlns:a16="http://schemas.microsoft.com/office/drawing/2014/main" id="{5BB7F657-892A-42A8-9BFD-0B575D754718}"/>
            </a:ext>
          </a:extLst>
        </xdr:cNvPr>
        <xdr:cNvPicPr>
          <a:picLocks noChangeAspect="1"/>
        </xdr:cNvPicPr>
      </xdr:nvPicPr>
      <xdr:blipFill>
        <a:blip xmlns:r="http://schemas.openxmlformats.org/officeDocument/2006/relationships" r:embed="rId1"/>
        <a:stretch>
          <a:fillRect/>
        </a:stretch>
      </xdr:blipFill>
      <xdr:spPr>
        <a:xfrm>
          <a:off x="13973175" y="4819650"/>
          <a:ext cx="6477904" cy="2591162"/>
        </a:xfrm>
        <a:prstGeom prst="rect">
          <a:avLst/>
        </a:prstGeom>
      </xdr:spPr>
    </xdr:pic>
    <xdr:clientData/>
  </xdr:twoCellAnchor>
  <xdr:twoCellAnchor>
    <xdr:from>
      <xdr:col>20</xdr:col>
      <xdr:colOff>304800</xdr:colOff>
      <xdr:row>8</xdr:row>
      <xdr:rowOff>95250</xdr:rowOff>
    </xdr:from>
    <xdr:to>
      <xdr:col>25</xdr:col>
      <xdr:colOff>276225</xdr:colOff>
      <xdr:row>21</xdr:row>
      <xdr:rowOff>95249</xdr:rowOff>
    </xdr:to>
    <xdr:sp macro="" textlink="">
      <xdr:nvSpPr>
        <xdr:cNvPr id="9" name="Oval 8">
          <a:extLst>
            <a:ext uri="{FF2B5EF4-FFF2-40B4-BE49-F238E27FC236}">
              <a16:creationId xmlns:a16="http://schemas.microsoft.com/office/drawing/2014/main" id="{B220641D-619D-4B49-B339-56F5FDB3F9B8}"/>
            </a:ext>
          </a:extLst>
        </xdr:cNvPr>
        <xdr:cNvSpPr/>
      </xdr:nvSpPr>
      <xdr:spPr>
        <a:xfrm>
          <a:off x="17764125" y="2076450"/>
          <a:ext cx="3019425" cy="2552699"/>
        </a:xfrm>
        <a:prstGeom prst="ellipse">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r>
            <a:rPr lang="en-GB" b="1">
              <a:solidFill>
                <a:schemeClr val="tx1"/>
              </a:solidFill>
              <a:latin typeface="Times New Roman" panose="02020603050405020304" pitchFamily="18" charset="0"/>
              <a:cs typeface="Times New Roman" panose="02020603050405020304" pitchFamily="18" charset="0"/>
            </a:rPr>
            <a:t>For Infosys Ltd., the Total Equity Value tells us what the company’s equity is worth today based on its expected future cash flows to shareholders. This value is compared to the current market capitalization to determine if the stock is undervalued or overvalued.</a:t>
          </a:r>
          <a:endParaRPr lang="en-GB" sz="11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723900</xdr:colOff>
      <xdr:row>18</xdr:row>
      <xdr:rowOff>66675</xdr:rowOff>
    </xdr:from>
    <xdr:to>
      <xdr:col>11</xdr:col>
      <xdr:colOff>866775</xdr:colOff>
      <xdr:row>21</xdr:row>
      <xdr:rowOff>180975</xdr:rowOff>
    </xdr:to>
    <xdr:cxnSp macro="">
      <xdr:nvCxnSpPr>
        <xdr:cNvPr id="11" name="Straight Arrow Connector 10">
          <a:extLst>
            <a:ext uri="{FF2B5EF4-FFF2-40B4-BE49-F238E27FC236}">
              <a16:creationId xmlns:a16="http://schemas.microsoft.com/office/drawing/2014/main" id="{08F7BD97-F22B-4373-BA51-A60C462B588B}"/>
            </a:ext>
          </a:extLst>
        </xdr:cNvPr>
        <xdr:cNvCxnSpPr/>
      </xdr:nvCxnSpPr>
      <xdr:spPr>
        <a:xfrm flipH="1">
          <a:off x="10877550" y="4029075"/>
          <a:ext cx="904875" cy="6858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8</xdr:col>
      <xdr:colOff>1971675</xdr:colOff>
      <xdr:row>22</xdr:row>
      <xdr:rowOff>9525</xdr:rowOff>
    </xdr:from>
    <xdr:to>
      <xdr:col>13</xdr:col>
      <xdr:colOff>400660</xdr:colOff>
      <xdr:row>25</xdr:row>
      <xdr:rowOff>66763</xdr:rowOff>
    </xdr:to>
    <xdr:pic>
      <xdr:nvPicPr>
        <xdr:cNvPr id="12" name="Picture 11">
          <a:extLst>
            <a:ext uri="{FF2B5EF4-FFF2-40B4-BE49-F238E27FC236}">
              <a16:creationId xmlns:a16="http://schemas.microsoft.com/office/drawing/2014/main" id="{4F6C3D11-C56C-4682-BD53-D9D1C044AD97}"/>
            </a:ext>
          </a:extLst>
        </xdr:cNvPr>
        <xdr:cNvPicPr>
          <a:picLocks noChangeAspect="1"/>
        </xdr:cNvPicPr>
      </xdr:nvPicPr>
      <xdr:blipFill>
        <a:blip xmlns:r="http://schemas.openxmlformats.org/officeDocument/2006/relationships" r:embed="rId2"/>
        <a:stretch>
          <a:fillRect/>
        </a:stretch>
      </xdr:blipFill>
      <xdr:spPr>
        <a:xfrm>
          <a:off x="8905875" y="4733925"/>
          <a:ext cx="4372585" cy="628738"/>
        </a:xfrm>
        <a:prstGeom prst="rect">
          <a:avLst/>
        </a:prstGeom>
      </xdr:spPr>
    </xdr:pic>
    <xdr:clientData/>
  </xdr:twoCellAnchor>
  <xdr:twoCellAnchor>
    <xdr:from>
      <xdr:col>9</xdr:col>
      <xdr:colOff>9525</xdr:colOff>
      <xdr:row>26</xdr:row>
      <xdr:rowOff>161925</xdr:rowOff>
    </xdr:from>
    <xdr:to>
      <xdr:col>13</xdr:col>
      <xdr:colOff>400050</xdr:colOff>
      <xdr:row>42</xdr:row>
      <xdr:rowOff>57150</xdr:rowOff>
    </xdr:to>
    <xdr:sp macro="" textlink="">
      <xdr:nvSpPr>
        <xdr:cNvPr id="14" name="Rectangle: Rounded Corners 13">
          <a:extLst>
            <a:ext uri="{FF2B5EF4-FFF2-40B4-BE49-F238E27FC236}">
              <a16:creationId xmlns:a16="http://schemas.microsoft.com/office/drawing/2014/main" id="{338BEFFC-EFCE-4A57-865A-238F83CA48E3}"/>
            </a:ext>
          </a:extLst>
        </xdr:cNvPr>
        <xdr:cNvSpPr/>
      </xdr:nvSpPr>
      <xdr:spPr>
        <a:xfrm>
          <a:off x="8943975" y="5648325"/>
          <a:ext cx="4333875" cy="2943225"/>
        </a:xfrm>
        <a:prstGeom prst="roundRect">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GB" sz="1100" b="0" i="0">
              <a:solidFill>
                <a:schemeClr val="lt1"/>
              </a:solidFill>
              <a:effectLst/>
              <a:latin typeface="+mn-lt"/>
              <a:ea typeface="+mn-ea"/>
              <a:cs typeface="+mn-cs"/>
            </a:rPr>
            <a:t>Using the Free Cash Flow to Equity (FCFE) model, the intrinsic equity value of Infosys Ltd. was estimated to be ₹512,658.30 million. This figure represents the present value of all expected future free cash flows to equity shareholders, including both the projected cash flows during the explicit forecast period and the terminal value, discounted at the company's cost of equity. Based on this valuation and assuming Infosys has approximately 4,142 million outstanding shares, the intrinsic value per share is around ₹1235.05 . This result suggests that if the current market price of Infosys shares is higher than ₹1235.05 , the stock may be overvalued. Conversely, if the market price is lower, it could indicate that Infosys is undervalued and may present a potential investment opportunity. This valuation depends heavily on assumptions such as growth rates, discount rate, and accuracy of future FCFE estimates.</a:t>
          </a:r>
          <a:endParaRPr lang="en-GB">
            <a:effectLst/>
          </a:endParaRPr>
        </a:p>
        <a:p>
          <a:pPr algn="l"/>
          <a:endParaRPr lang="en-GB" sz="1100"/>
        </a:p>
      </xdr:txBody>
    </xdr:sp>
    <xdr:clientData/>
  </xdr:twoCellAnchor>
  <xdr:twoCellAnchor>
    <xdr:from>
      <xdr:col>14</xdr:col>
      <xdr:colOff>57150</xdr:colOff>
      <xdr:row>11</xdr:row>
      <xdr:rowOff>104775</xdr:rowOff>
    </xdr:from>
    <xdr:to>
      <xdr:col>15</xdr:col>
      <xdr:colOff>323850</xdr:colOff>
      <xdr:row>11</xdr:row>
      <xdr:rowOff>123826</xdr:rowOff>
    </xdr:to>
    <xdr:cxnSp macro="">
      <xdr:nvCxnSpPr>
        <xdr:cNvPr id="16" name="Straight Arrow Connector 15">
          <a:extLst>
            <a:ext uri="{FF2B5EF4-FFF2-40B4-BE49-F238E27FC236}">
              <a16:creationId xmlns:a16="http://schemas.microsoft.com/office/drawing/2014/main" id="{1D21C56A-38C7-4CFD-9BDA-6E87DF5856ED}"/>
            </a:ext>
          </a:extLst>
        </xdr:cNvPr>
        <xdr:cNvCxnSpPr/>
      </xdr:nvCxnSpPr>
      <xdr:spPr>
        <a:xfrm flipV="1">
          <a:off x="13858875" y="2667000"/>
          <a:ext cx="876300" cy="1905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AEC14-F537-42A1-AA71-08C79B292D44}">
  <sheetPr>
    <tabColor theme="4" tint="0.59999389629810485"/>
  </sheetPr>
  <dimension ref="B1:N23"/>
  <sheetViews>
    <sheetView tabSelected="1" workbookViewId="0">
      <selection activeCell="B29" sqref="B29"/>
    </sheetView>
  </sheetViews>
  <sheetFormatPr defaultRowHeight="15" x14ac:dyDescent="0.25"/>
  <cols>
    <col min="2" max="2" width="31.7109375" bestFit="1" customWidth="1"/>
    <col min="3" max="6" width="12.42578125" bestFit="1" customWidth="1"/>
    <col min="7" max="7" width="4.7109375" customWidth="1"/>
    <col min="8" max="8" width="9.5703125" customWidth="1"/>
    <col min="14" max="14" width="40.28515625" customWidth="1"/>
  </cols>
  <sheetData>
    <row r="1" spans="2:14" ht="15.75" thickBot="1" x14ac:dyDescent="0.3"/>
    <row r="2" spans="2:14" x14ac:dyDescent="0.25">
      <c r="D2" s="49" t="s">
        <v>28</v>
      </c>
      <c r="E2" s="50"/>
      <c r="F2" s="50"/>
      <c r="G2" s="50"/>
      <c r="H2" s="50"/>
      <c r="I2" s="50"/>
      <c r="J2" s="50"/>
      <c r="K2" s="50"/>
      <c r="L2" s="50"/>
      <c r="M2" s="51"/>
    </row>
    <row r="3" spans="2:14" ht="15.75" thickBot="1" x14ac:dyDescent="0.3">
      <c r="D3" s="52"/>
      <c r="E3" s="53"/>
      <c r="F3" s="53"/>
      <c r="G3" s="53"/>
      <c r="H3" s="53"/>
      <c r="I3" s="53"/>
      <c r="J3" s="53"/>
      <c r="K3" s="53"/>
      <c r="L3" s="53"/>
      <c r="M3" s="54"/>
    </row>
    <row r="4" spans="2:14" ht="15.75" thickBot="1" x14ac:dyDescent="0.3"/>
    <row r="5" spans="2:14" x14ac:dyDescent="0.25">
      <c r="B5" s="16"/>
      <c r="C5" s="17" t="s">
        <v>16</v>
      </c>
      <c r="D5" s="17" t="s">
        <v>17</v>
      </c>
      <c r="E5" s="17" t="s">
        <v>18</v>
      </c>
      <c r="F5" s="18" t="s">
        <v>19</v>
      </c>
    </row>
    <row r="6" spans="2:14" ht="21" x14ac:dyDescent="0.35">
      <c r="B6" s="13" t="s">
        <v>0</v>
      </c>
      <c r="C6" s="9">
        <v>27234</v>
      </c>
      <c r="D6" s="9">
        <v>27234</v>
      </c>
      <c r="E6" s="9">
        <v>23268</v>
      </c>
      <c r="F6" s="10">
        <v>19423</v>
      </c>
      <c r="H6" s="19" t="s">
        <v>4</v>
      </c>
      <c r="I6" s="19"/>
      <c r="J6" s="19"/>
      <c r="K6" s="19"/>
      <c r="L6" s="19"/>
      <c r="M6" s="19"/>
      <c r="N6" s="19"/>
    </row>
    <row r="7" spans="2:14" x14ac:dyDescent="0.25">
      <c r="B7" s="13" t="s">
        <v>20</v>
      </c>
      <c r="C7" s="9">
        <v>2292</v>
      </c>
      <c r="D7" s="9">
        <v>2292</v>
      </c>
      <c r="E7" s="9">
        <v>2193</v>
      </c>
      <c r="F7" s="10">
        <v>2193</v>
      </c>
    </row>
    <row r="8" spans="2:14" x14ac:dyDescent="0.25">
      <c r="B8" s="14" t="s">
        <v>21</v>
      </c>
      <c r="C8" s="9">
        <v>1435</v>
      </c>
      <c r="D8" s="9">
        <v>1267</v>
      </c>
      <c r="E8" s="9">
        <v>1208</v>
      </c>
      <c r="F8" s="10">
        <v>1151</v>
      </c>
    </row>
    <row r="9" spans="2:14" x14ac:dyDescent="0.25">
      <c r="B9" s="14" t="s">
        <v>1</v>
      </c>
      <c r="C9" s="9">
        <v>43866</v>
      </c>
      <c r="D9" s="9">
        <v>24640</v>
      </c>
      <c r="E9" s="9">
        <v>22803</v>
      </c>
      <c r="F9" s="10">
        <v>21113</v>
      </c>
    </row>
    <row r="10" spans="2:14" x14ac:dyDescent="0.25">
      <c r="B10" s="14" t="s">
        <v>3</v>
      </c>
      <c r="C10" s="9">
        <v>0</v>
      </c>
      <c r="D10" s="9">
        <v>0</v>
      </c>
      <c r="E10" s="9">
        <v>0</v>
      </c>
      <c r="F10" s="10">
        <v>0</v>
      </c>
    </row>
    <row r="11" spans="2:14" ht="15.75" thickBot="1" x14ac:dyDescent="0.3">
      <c r="B11" s="15"/>
      <c r="C11" s="11"/>
      <c r="D11" s="11"/>
      <c r="E11" s="11"/>
      <c r="F11" s="12"/>
    </row>
    <row r="12" spans="2:14" ht="16.5" thickBot="1" x14ac:dyDescent="0.3">
      <c r="B12" s="23" t="s">
        <v>2</v>
      </c>
      <c r="C12" s="45">
        <f>C6+C7-C8-C9+C10</f>
        <v>-15775</v>
      </c>
      <c r="D12" s="45">
        <f t="shared" ref="D12:F12" si="0">D6+D7-D8-D9+D10</f>
        <v>3619</v>
      </c>
      <c r="E12" s="45">
        <f t="shared" si="0"/>
        <v>1450</v>
      </c>
      <c r="F12" s="46">
        <f t="shared" si="0"/>
        <v>-648</v>
      </c>
      <c r="G12" s="2"/>
    </row>
    <row r="13" spans="2:14" x14ac:dyDescent="0.25">
      <c r="B13" s="1"/>
    </row>
    <row r="14" spans="2:14" x14ac:dyDescent="0.25">
      <c r="B14" s="1"/>
    </row>
    <row r="15" spans="2:14" x14ac:dyDescent="0.25">
      <c r="B15" s="1"/>
      <c r="C15" s="1"/>
      <c r="D15" s="1"/>
      <c r="E15" s="1"/>
      <c r="F15" s="1"/>
    </row>
    <row r="16" spans="2:14" x14ac:dyDescent="0.25">
      <c r="B16" s="1"/>
    </row>
    <row r="17" spans="2:2" x14ac:dyDescent="0.25">
      <c r="B17" s="1"/>
    </row>
    <row r="18" spans="2:2" x14ac:dyDescent="0.25">
      <c r="B18" s="1"/>
    </row>
    <row r="19" spans="2:2" x14ac:dyDescent="0.25">
      <c r="B19" s="1"/>
    </row>
    <row r="20" spans="2:2" x14ac:dyDescent="0.25">
      <c r="B20" s="1"/>
    </row>
    <row r="21" spans="2:2" x14ac:dyDescent="0.25">
      <c r="B21" s="1"/>
    </row>
    <row r="22" spans="2:2" x14ac:dyDescent="0.25">
      <c r="B22" s="1"/>
    </row>
    <row r="23" spans="2:2" x14ac:dyDescent="0.25">
      <c r="B23" s="1"/>
    </row>
  </sheetData>
  <mergeCells count="1">
    <mergeCell ref="D2:M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2140F-A96B-405A-AEE8-527042F236FC}">
  <sheetPr>
    <tabColor theme="7" tint="0.79998168889431442"/>
  </sheetPr>
  <dimension ref="B1:V14"/>
  <sheetViews>
    <sheetView topLeftCell="C4" workbookViewId="0">
      <selection activeCell="I28" sqref="I28"/>
    </sheetView>
  </sheetViews>
  <sheetFormatPr defaultRowHeight="15" x14ac:dyDescent="0.25"/>
  <cols>
    <col min="2" max="2" width="31.7109375" bestFit="1" customWidth="1"/>
    <col min="3" max="6" width="12.42578125" bestFit="1" customWidth="1"/>
    <col min="7" max="7" width="12.42578125" style="4" customWidth="1"/>
    <col min="8" max="8" width="13.42578125" bestFit="1" customWidth="1"/>
    <col min="9" max="11" width="12.42578125" bestFit="1" customWidth="1"/>
    <col min="12" max="12" width="15.7109375" bestFit="1" customWidth="1"/>
    <col min="13" max="13" width="12.42578125" bestFit="1" customWidth="1"/>
    <col min="16" max="16" width="33" customWidth="1"/>
    <col min="17" max="17" width="18.5703125" customWidth="1"/>
  </cols>
  <sheetData>
    <row r="1" spans="2:22" ht="15.75" thickBot="1" x14ac:dyDescent="0.3"/>
    <row r="2" spans="2:22" x14ac:dyDescent="0.25">
      <c r="D2" s="49" t="s">
        <v>29</v>
      </c>
      <c r="E2" s="50"/>
      <c r="F2" s="50"/>
      <c r="G2" s="50"/>
      <c r="H2" s="50"/>
      <c r="I2" s="50"/>
      <c r="J2" s="50"/>
      <c r="K2" s="50"/>
      <c r="L2" s="50"/>
      <c r="M2" s="51"/>
    </row>
    <row r="3" spans="2:22" ht="15.75" thickBot="1" x14ac:dyDescent="0.3">
      <c r="D3" s="52"/>
      <c r="E3" s="53"/>
      <c r="F3" s="53"/>
      <c r="G3" s="53"/>
      <c r="H3" s="53"/>
      <c r="I3" s="53"/>
      <c r="J3" s="53"/>
      <c r="K3" s="53"/>
      <c r="L3" s="53"/>
      <c r="M3" s="54"/>
    </row>
    <row r="4" spans="2:22" ht="15.75" thickBot="1" x14ac:dyDescent="0.3"/>
    <row r="5" spans="2:22" ht="21" x14ac:dyDescent="0.35">
      <c r="B5" s="16"/>
      <c r="C5" s="17" t="s">
        <v>16</v>
      </c>
      <c r="D5" s="17" t="s">
        <v>17</v>
      </c>
      <c r="E5" s="17" t="s">
        <v>18</v>
      </c>
      <c r="F5" s="18" t="s">
        <v>19</v>
      </c>
      <c r="G5" s="6"/>
      <c r="H5" s="16"/>
      <c r="I5" s="17" t="s">
        <v>22</v>
      </c>
      <c r="J5" s="17" t="s">
        <v>23</v>
      </c>
      <c r="K5" s="17" t="s">
        <v>24</v>
      </c>
      <c r="L5" s="7" t="s">
        <v>25</v>
      </c>
      <c r="M5" s="8" t="s">
        <v>26</v>
      </c>
      <c r="P5" s="19" t="s">
        <v>4</v>
      </c>
      <c r="Q5" s="19"/>
      <c r="R5" s="19"/>
      <c r="S5" s="19"/>
      <c r="T5" s="19"/>
      <c r="U5" s="19"/>
      <c r="V5" s="19"/>
    </row>
    <row r="6" spans="2:22" x14ac:dyDescent="0.25">
      <c r="B6" s="13" t="s">
        <v>0</v>
      </c>
      <c r="C6" s="9">
        <v>27234</v>
      </c>
      <c r="D6" s="9">
        <v>27234</v>
      </c>
      <c r="E6" s="9">
        <v>23268</v>
      </c>
      <c r="F6" s="10">
        <v>19423</v>
      </c>
      <c r="G6" s="3"/>
      <c r="H6" s="13"/>
      <c r="I6" s="9">
        <f>C6*(1+10%)</f>
        <v>29957.4</v>
      </c>
      <c r="J6" s="9">
        <f>I6*(1+10%)</f>
        <v>32953.140000000007</v>
      </c>
      <c r="K6" s="9">
        <f t="shared" ref="K6:M6" si="0">J6*(1+10%)</f>
        <v>36248.454000000012</v>
      </c>
      <c r="L6" s="9">
        <f t="shared" si="0"/>
        <v>39873.299400000018</v>
      </c>
      <c r="M6" s="10">
        <f t="shared" si="0"/>
        <v>43860.629340000021</v>
      </c>
    </row>
    <row r="7" spans="2:22" x14ac:dyDescent="0.25">
      <c r="B7" s="13" t="s">
        <v>20</v>
      </c>
      <c r="C7" s="9">
        <v>2292</v>
      </c>
      <c r="D7" s="9">
        <v>2292</v>
      </c>
      <c r="E7" s="9">
        <v>2193</v>
      </c>
      <c r="F7" s="10">
        <v>2193</v>
      </c>
      <c r="G7" s="3"/>
      <c r="H7" s="13"/>
      <c r="I7" s="9">
        <f>C7*(1+10%)</f>
        <v>2521.2000000000003</v>
      </c>
      <c r="J7" s="9">
        <f>I7*(1+10%)</f>
        <v>2773.3200000000006</v>
      </c>
      <c r="K7" s="9">
        <f t="shared" ref="K7:M7" si="1">J7*(1+10%)</f>
        <v>3050.652000000001</v>
      </c>
      <c r="L7" s="9">
        <f t="shared" si="1"/>
        <v>3355.7172000000014</v>
      </c>
      <c r="M7" s="10">
        <f t="shared" si="1"/>
        <v>3691.2889200000018</v>
      </c>
    </row>
    <row r="8" spans="2:22" x14ac:dyDescent="0.25">
      <c r="B8" s="14" t="s">
        <v>21</v>
      </c>
      <c r="C8" s="9">
        <v>1435</v>
      </c>
      <c r="D8" s="9">
        <v>1267</v>
      </c>
      <c r="E8" s="9">
        <v>1208</v>
      </c>
      <c r="F8" s="10">
        <v>1151</v>
      </c>
      <c r="G8" s="3"/>
      <c r="H8" s="14"/>
      <c r="I8" s="9">
        <f>I7*40%</f>
        <v>1008.4800000000001</v>
      </c>
      <c r="J8" s="9">
        <f t="shared" ref="J8:M8" si="2">J7*40%</f>
        <v>1109.3280000000002</v>
      </c>
      <c r="K8" s="9">
        <f t="shared" si="2"/>
        <v>1220.2608000000005</v>
      </c>
      <c r="L8" s="9">
        <f t="shared" si="2"/>
        <v>1342.2868800000006</v>
      </c>
      <c r="M8" s="10">
        <f t="shared" si="2"/>
        <v>1476.5155680000007</v>
      </c>
    </row>
    <row r="9" spans="2:22" x14ac:dyDescent="0.25">
      <c r="B9" s="14" t="s">
        <v>1</v>
      </c>
      <c r="C9" s="9">
        <v>43866</v>
      </c>
      <c r="D9" s="9">
        <v>24640</v>
      </c>
      <c r="E9" s="9">
        <v>22803</v>
      </c>
      <c r="F9" s="10">
        <v>21113</v>
      </c>
      <c r="G9" s="3"/>
      <c r="H9" s="14"/>
      <c r="I9" s="9">
        <f>I6*3%</f>
        <v>898.72199999999998</v>
      </c>
      <c r="J9" s="9">
        <f t="shared" ref="J9:M9" si="3">J6*3%</f>
        <v>988.59420000000011</v>
      </c>
      <c r="K9" s="9">
        <f t="shared" si="3"/>
        <v>1087.4536200000002</v>
      </c>
      <c r="L9" s="9">
        <f t="shared" si="3"/>
        <v>1196.1989820000006</v>
      </c>
      <c r="M9" s="10">
        <f t="shared" si="3"/>
        <v>1315.8188802000006</v>
      </c>
    </row>
    <row r="10" spans="2:22" x14ac:dyDescent="0.25">
      <c r="B10" s="14" t="s">
        <v>3</v>
      </c>
      <c r="C10" s="9">
        <v>0</v>
      </c>
      <c r="D10" s="9">
        <v>0</v>
      </c>
      <c r="E10" s="9">
        <v>0</v>
      </c>
      <c r="F10" s="10">
        <v>0</v>
      </c>
      <c r="G10" s="3"/>
      <c r="H10" s="14"/>
      <c r="I10" s="9">
        <v>0</v>
      </c>
      <c r="J10" s="9">
        <v>0</v>
      </c>
      <c r="K10" s="9">
        <v>0</v>
      </c>
      <c r="L10" s="9">
        <v>0</v>
      </c>
      <c r="M10" s="10">
        <v>0</v>
      </c>
    </row>
    <row r="11" spans="2:22" ht="15.75" thickBot="1" x14ac:dyDescent="0.3">
      <c r="B11" s="15"/>
      <c r="C11" s="11"/>
      <c r="D11" s="11"/>
      <c r="E11" s="11"/>
      <c r="F11" s="12"/>
      <c r="H11" s="15"/>
      <c r="I11" s="11"/>
      <c r="J11" s="11"/>
      <c r="K11" s="11"/>
      <c r="L11" s="11"/>
      <c r="M11" s="12"/>
    </row>
    <row r="12" spans="2:22" ht="15.75" thickBot="1" x14ac:dyDescent="0.3">
      <c r="B12" s="23" t="s">
        <v>2</v>
      </c>
      <c r="C12" s="45">
        <f>C6+C7-C8-C9+C10</f>
        <v>-15775</v>
      </c>
      <c r="D12" s="45">
        <f t="shared" ref="D12:E12" si="4">D6+D7-D8-D9+D10</f>
        <v>3619</v>
      </c>
      <c r="E12" s="45">
        <f t="shared" si="4"/>
        <v>1450</v>
      </c>
      <c r="F12" s="46">
        <f>F6+F7-F8-F9+F10</f>
        <v>-648</v>
      </c>
      <c r="G12" s="3"/>
      <c r="H12" s="23" t="s">
        <v>2</v>
      </c>
      <c r="I12" s="45">
        <f>I6+I7-I8-I9+I10</f>
        <v>30571.398000000001</v>
      </c>
      <c r="J12" s="45">
        <f t="shared" ref="J12:L12" si="5">J6+J7-J8-J9+J10</f>
        <v>33628.537800000006</v>
      </c>
      <c r="K12" s="45">
        <f t="shared" si="5"/>
        <v>36991.39158000001</v>
      </c>
      <c r="L12" s="45">
        <f t="shared" si="5"/>
        <v>40690.530738000016</v>
      </c>
      <c r="M12" s="46">
        <f>M6+M7-M8-M9+M10</f>
        <v>44759.583811800017</v>
      </c>
    </row>
    <row r="13" spans="2:22" ht="15.75" thickBot="1" x14ac:dyDescent="0.3"/>
    <row r="14" spans="2:22" ht="15.75" thickBot="1" x14ac:dyDescent="0.3">
      <c r="L14" s="20" t="s">
        <v>5</v>
      </c>
      <c r="M14" s="39">
        <f>M12*(1+5%)/(12%-5%)</f>
        <v>671393.7571770004</v>
      </c>
    </row>
  </sheetData>
  <mergeCells count="1">
    <mergeCell ref="D2:M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4BBBE-A8B1-4D33-AF84-D180FCB86479}">
  <sheetPr>
    <tabColor theme="4" tint="0.59999389629810485"/>
  </sheetPr>
  <dimension ref="B1:N19"/>
  <sheetViews>
    <sheetView topLeftCell="B1" workbookViewId="0">
      <selection activeCell="H16" sqref="H16"/>
    </sheetView>
  </sheetViews>
  <sheetFormatPr defaultRowHeight="15" x14ac:dyDescent="0.25"/>
  <cols>
    <col min="3" max="5" width="12.42578125" bestFit="1" customWidth="1"/>
    <col min="6" max="6" width="14.85546875" customWidth="1"/>
    <col min="7" max="7" width="12.42578125" bestFit="1" customWidth="1"/>
    <col min="8" max="8" width="21.140625" customWidth="1"/>
    <col min="9" max="9" width="30" bestFit="1" customWidth="1"/>
    <col min="10" max="10" width="18.28515625" customWidth="1"/>
    <col min="11" max="11" width="11.42578125" bestFit="1" customWidth="1"/>
    <col min="12" max="12" width="18" bestFit="1" customWidth="1"/>
    <col min="13" max="13" width="11.42578125" bestFit="1" customWidth="1"/>
    <col min="14" max="14" width="13.85546875" customWidth="1"/>
  </cols>
  <sheetData>
    <row r="1" spans="2:14" ht="15.75" thickBot="1" x14ac:dyDescent="0.3"/>
    <row r="2" spans="2:14" x14ac:dyDescent="0.25">
      <c r="D2" s="49" t="s">
        <v>30</v>
      </c>
      <c r="E2" s="50"/>
      <c r="F2" s="50"/>
      <c r="G2" s="50"/>
      <c r="H2" s="50"/>
      <c r="I2" s="50"/>
      <c r="J2" s="50"/>
      <c r="K2" s="50"/>
      <c r="L2" s="50"/>
      <c r="M2" s="51"/>
    </row>
    <row r="3" spans="2:14" ht="15.75" thickBot="1" x14ac:dyDescent="0.3">
      <c r="D3" s="52"/>
      <c r="E3" s="53"/>
      <c r="F3" s="53"/>
      <c r="G3" s="53"/>
      <c r="H3" s="53"/>
      <c r="I3" s="53"/>
      <c r="J3" s="53"/>
      <c r="K3" s="53"/>
      <c r="L3" s="53"/>
      <c r="M3" s="54"/>
    </row>
    <row r="5" spans="2:14" ht="15.75" thickBot="1" x14ac:dyDescent="0.3"/>
    <row r="6" spans="2:14" ht="48.95" customHeight="1" x14ac:dyDescent="0.25">
      <c r="B6" s="16"/>
      <c r="C6" s="17" t="s">
        <v>22</v>
      </c>
      <c r="D6" s="17" t="s">
        <v>23</v>
      </c>
      <c r="E6" s="17" t="s">
        <v>24</v>
      </c>
      <c r="F6" s="18" t="s">
        <v>25</v>
      </c>
      <c r="G6" s="18" t="s">
        <v>26</v>
      </c>
      <c r="I6" s="33" t="s">
        <v>6</v>
      </c>
      <c r="J6" s="31" t="s">
        <v>7</v>
      </c>
      <c r="K6" s="31" t="s">
        <v>8</v>
      </c>
      <c r="L6" s="31" t="s">
        <v>9</v>
      </c>
      <c r="M6" s="31" t="s">
        <v>10</v>
      </c>
      <c r="N6" s="32" t="s">
        <v>11</v>
      </c>
    </row>
    <row r="7" spans="2:14" x14ac:dyDescent="0.25">
      <c r="B7" s="13"/>
      <c r="C7" s="9">
        <v>29957.4</v>
      </c>
      <c r="D7" s="9">
        <v>32953.140000000007</v>
      </c>
      <c r="E7" s="9">
        <v>36248.454000000012</v>
      </c>
      <c r="F7" s="10">
        <v>39873.299400000018</v>
      </c>
      <c r="G7" s="10">
        <v>43860.629340000021</v>
      </c>
      <c r="I7" s="34">
        <v>2025</v>
      </c>
      <c r="J7" s="26">
        <v>30571.398000000001</v>
      </c>
      <c r="K7" s="27"/>
      <c r="L7" s="28">
        <f xml:space="preserve"> 1 / (1 + 12%)^1</f>
        <v>0.89285714285714279</v>
      </c>
      <c r="M7" s="28">
        <f>J7*L7</f>
        <v>27295.89107142857</v>
      </c>
      <c r="N7" s="29"/>
    </row>
    <row r="8" spans="2:14" x14ac:dyDescent="0.25">
      <c r="B8" s="13"/>
      <c r="C8" s="9">
        <v>2521.2000000000003</v>
      </c>
      <c r="D8" s="9">
        <v>2773.3200000000006</v>
      </c>
      <c r="E8" s="9">
        <v>3050.652000000001</v>
      </c>
      <c r="F8" s="10">
        <v>3355.7172000000014</v>
      </c>
      <c r="G8" s="10">
        <v>3691.2889200000018</v>
      </c>
      <c r="I8" s="34">
        <v>2026</v>
      </c>
      <c r="J8" s="26">
        <v>33628.537800000006</v>
      </c>
      <c r="K8" s="27"/>
      <c r="L8" s="28">
        <f xml:space="preserve"> 1 / (1 + 12%)^2</f>
        <v>0.79719387755102034</v>
      </c>
      <c r="M8" s="28">
        <f t="shared" ref="M8:M11" si="0">J8*L8</f>
        <v>26808.464445153062</v>
      </c>
      <c r="N8" s="29"/>
    </row>
    <row r="9" spans="2:14" x14ac:dyDescent="0.25">
      <c r="B9" s="14"/>
      <c r="C9" s="9">
        <v>1008.4800000000001</v>
      </c>
      <c r="D9" s="9">
        <v>1109.3280000000002</v>
      </c>
      <c r="E9" s="9">
        <v>1220.2608000000005</v>
      </c>
      <c r="F9" s="10">
        <v>1342.2868800000006</v>
      </c>
      <c r="G9" s="10">
        <v>1476.5155680000007</v>
      </c>
      <c r="I9" s="34">
        <v>2027</v>
      </c>
      <c r="J9" s="26">
        <v>36991.39158000001</v>
      </c>
      <c r="K9" s="27"/>
      <c r="L9" s="28">
        <f xml:space="preserve"> 1 / (1 + 12%)^3</f>
        <v>0.71178024781341087</v>
      </c>
      <c r="M9" s="28">
        <f t="shared" si="0"/>
        <v>26329.741865775326</v>
      </c>
      <c r="N9" s="29"/>
    </row>
    <row r="10" spans="2:14" x14ac:dyDescent="0.25">
      <c r="B10" s="14"/>
      <c r="C10" s="9">
        <v>898.72199999999998</v>
      </c>
      <c r="D10" s="9">
        <v>988.59420000000011</v>
      </c>
      <c r="E10" s="9">
        <v>1087.4536200000002</v>
      </c>
      <c r="F10" s="10">
        <v>1196.1989820000006</v>
      </c>
      <c r="G10" s="10">
        <v>1315.8188802000006</v>
      </c>
      <c r="I10" s="34">
        <v>2028</v>
      </c>
      <c r="J10" s="26">
        <v>40690.530738000016</v>
      </c>
      <c r="K10" s="27"/>
      <c r="L10" s="28">
        <f xml:space="preserve"> 1 / (1 + 12%)^4</f>
        <v>0.63551807840483121</v>
      </c>
      <c r="M10" s="28">
        <f t="shared" si="0"/>
        <v>25859.567903886487</v>
      </c>
      <c r="N10" s="29"/>
    </row>
    <row r="11" spans="2:14" ht="15.75" thickBot="1" x14ac:dyDescent="0.3">
      <c r="B11" s="14"/>
      <c r="C11" s="9">
        <v>0</v>
      </c>
      <c r="D11" s="9">
        <v>0</v>
      </c>
      <c r="E11" s="9">
        <v>0</v>
      </c>
      <c r="F11" s="10">
        <v>0</v>
      </c>
      <c r="G11" s="10">
        <v>0</v>
      </c>
      <c r="I11" s="36">
        <v>2029</v>
      </c>
      <c r="J11" s="37">
        <v>44759.583811800017</v>
      </c>
      <c r="K11" s="38">
        <f>G15</f>
        <v>671393.7571770004</v>
      </c>
      <c r="L11" s="38">
        <f xml:space="preserve"> 1 / (1 + 12%)^5</f>
        <v>0.56742685571859919</v>
      </c>
      <c r="M11" s="38">
        <f t="shared" si="0"/>
        <v>25397.789905602796</v>
      </c>
      <c r="N11" s="47">
        <f>K11*L11</f>
        <v>380966.84858404205</v>
      </c>
    </row>
    <row r="12" spans="2:14" ht="15.75" thickBot="1" x14ac:dyDescent="0.3">
      <c r="B12" s="15"/>
      <c r="C12" s="11"/>
      <c r="D12" s="11"/>
      <c r="E12" s="11"/>
      <c r="F12" s="12"/>
      <c r="G12" s="12"/>
      <c r="I12" s="4"/>
      <c r="J12" s="4"/>
      <c r="K12" s="4"/>
      <c r="L12" s="21" t="s">
        <v>12</v>
      </c>
      <c r="M12" s="48">
        <f>SUM(M7:M11)</f>
        <v>131691.45519184624</v>
      </c>
      <c r="N12" s="30"/>
    </row>
    <row r="13" spans="2:14" ht="15.75" thickBot="1" x14ac:dyDescent="0.3">
      <c r="B13" s="23" t="s">
        <v>2</v>
      </c>
      <c r="C13" s="24">
        <v>30571.398000000001</v>
      </c>
      <c r="D13" s="24">
        <v>33628.537800000006</v>
      </c>
      <c r="E13" s="24">
        <v>36991.39158000001</v>
      </c>
      <c r="F13" s="25">
        <v>40690.530738000016</v>
      </c>
      <c r="G13" s="25">
        <v>44759.583811800017</v>
      </c>
      <c r="I13" s="4"/>
      <c r="J13" s="4"/>
      <c r="K13" s="4"/>
      <c r="L13" s="4"/>
      <c r="M13" s="4"/>
      <c r="N13" s="4"/>
    </row>
    <row r="14" spans="2:14" ht="15.75" thickBot="1" x14ac:dyDescent="0.3">
      <c r="B14" s="4"/>
      <c r="C14" s="4"/>
      <c r="D14" s="4"/>
      <c r="E14" s="4"/>
      <c r="F14" s="4"/>
      <c r="G14" s="5"/>
      <c r="I14" s="4"/>
      <c r="J14" s="4"/>
      <c r="K14" s="4"/>
      <c r="L14" s="21" t="s">
        <v>15</v>
      </c>
      <c r="M14" s="35"/>
      <c r="N14" s="22">
        <f>M12+N11</f>
        <v>512658.30377588829</v>
      </c>
    </row>
    <row r="15" spans="2:14" ht="15.75" thickBot="1" x14ac:dyDescent="0.3">
      <c r="B15" s="4"/>
      <c r="C15" s="4"/>
      <c r="D15" s="4"/>
      <c r="E15" s="4"/>
      <c r="F15" s="21" t="s">
        <v>5</v>
      </c>
      <c r="G15" s="22">
        <v>671393.7571770004</v>
      </c>
      <c r="I15" s="4"/>
      <c r="J15" s="4"/>
    </row>
    <row r="16" spans="2:14" ht="15.75" thickBot="1" x14ac:dyDescent="0.3">
      <c r="B16" s="4"/>
      <c r="C16" s="4"/>
      <c r="D16" s="4"/>
      <c r="E16" s="4"/>
      <c r="I16" s="4"/>
      <c r="J16" s="4"/>
      <c r="K16" s="4"/>
      <c r="L16" s="4"/>
      <c r="M16" s="4"/>
    </row>
    <row r="17" spans="2:13" ht="15.75" thickBot="1" x14ac:dyDescent="0.3">
      <c r="B17" s="4"/>
      <c r="C17" s="4"/>
      <c r="D17" s="4"/>
      <c r="E17" s="4"/>
      <c r="J17" s="40" t="s">
        <v>13</v>
      </c>
      <c r="K17" s="43"/>
      <c r="L17" s="42">
        <v>415.09</v>
      </c>
      <c r="M17" s="6" t="s">
        <v>27</v>
      </c>
    </row>
    <row r="18" spans="2:13" ht="15.75" thickBot="1" x14ac:dyDescent="0.3">
      <c r="I18" s="4"/>
      <c r="J18" s="41" t="s">
        <v>14</v>
      </c>
      <c r="K18" s="44"/>
      <c r="L18" s="22">
        <f>N14/L17</f>
        <v>1235.0533710180644</v>
      </c>
      <c r="M18" s="4"/>
    </row>
    <row r="19" spans="2:13" x14ac:dyDescent="0.25">
      <c r="I19" s="4"/>
      <c r="J19" s="4"/>
      <c r="K19" s="4"/>
      <c r="L19" s="4"/>
      <c r="M19" s="4"/>
    </row>
  </sheetData>
  <mergeCells count="1">
    <mergeCell ref="D2:M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Historical FCFE</vt:lpstr>
      <vt:lpstr>Future Projections</vt:lpstr>
      <vt:lpstr>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Janit Pathak</dc:creator>
  <cp:lastModifiedBy>D24125132 Viranchi Pathak</cp:lastModifiedBy>
  <dcterms:created xsi:type="dcterms:W3CDTF">2025-04-22T18:49:42Z</dcterms:created>
  <dcterms:modified xsi:type="dcterms:W3CDTF">2025-05-01T14:57:11Z</dcterms:modified>
</cp:coreProperties>
</file>